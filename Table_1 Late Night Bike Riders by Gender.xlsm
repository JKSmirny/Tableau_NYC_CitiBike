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ffbe06409def83d/Desktop/upenn-virt-data-pt-12-2021-u-c/02-Homework/18-Tableau/My Tableau Repository/"/>
    </mc:Choice>
  </mc:AlternateContent>
  <xr:revisionPtr revIDLastSave="0" documentId="14_{EAB6FFB7-AB25-449C-8E98-CE60795AA59B}" xr6:coauthVersionLast="47" xr6:coauthVersionMax="47" xr10:uidLastSave="{00000000-0000-0000-0000-000000000000}"/>
  <bookViews>
    <workbookView xWindow="-120" yWindow="480" windowWidth="29040" windowHeight="15840" xr2:uid="{27617E60-A0DA-4970-AAC6-D7F2CFC06A31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4" i="1" l="1"/>
  <c r="F5" i="1"/>
  <c r="F6" i="1"/>
  <c r="F7" i="1"/>
  <c r="D4" i="1"/>
  <c r="D5" i="1"/>
  <c r="D6" i="1"/>
  <c r="D7" i="1"/>
  <c r="D8" i="1"/>
  <c r="G3" i="1"/>
  <c r="D3" i="1" s="1"/>
  <c r="G4" i="1"/>
  <c r="G5" i="1"/>
  <c r="G6" i="1"/>
  <c r="G7" i="1"/>
  <c r="G8" i="1"/>
  <c r="F8" i="1" s="1"/>
  <c r="G2" i="1"/>
  <c r="F2" i="1" s="1"/>
  <c r="F3" i="1" l="1"/>
  <c r="F9" i="1" s="1"/>
  <c r="D2" i="1"/>
  <c r="D9" i="1" s="1"/>
</calcChain>
</file>

<file path=xl/sharedStrings.xml><?xml version="1.0" encoding="utf-8"?>
<sst xmlns="http://schemas.openxmlformats.org/spreadsheetml/2006/main" count="15" uniqueCount="15">
  <si>
    <t>time</t>
  </si>
  <si>
    <t>total</t>
  </si>
  <si>
    <t>average</t>
  </si>
  <si>
    <t>time range</t>
  </si>
  <si>
    <t>female</t>
  </si>
  <si>
    <t>% female</t>
  </si>
  <si>
    <t>male</t>
  </si>
  <si>
    <t>% male</t>
  </si>
  <si>
    <t>21:30 - 22:29</t>
  </si>
  <si>
    <t>22:30 - 23:29</t>
  </si>
  <si>
    <t>23:30 - 0:29</t>
  </si>
  <si>
    <t>0:30 - 1:29</t>
  </si>
  <si>
    <t>1:30 - 2:29</t>
  </si>
  <si>
    <t>2:30 - 3:29</t>
  </si>
  <si>
    <t>3:30 - 4:29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</si>
</sst>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">
    <xf numFmtId="0" fontId="0" fillId="0" borderId="0" xfId="0"/>
    <xf numFmtId="164" fontId="0" fillId="0" borderId="0" xfId="1" applyNumberFormat="1" applyFont="1"/>
    <xf numFmtId="164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D46A1-EE5C-49E7-BC69-705D6DA30169}">
  <dimension ref="A1:G9"/>
  <sheetViews>
    <sheetView tabSelected="1" workbookViewId="0">
      <selection activeCell="L17" sqref="L17"/>
    </sheetView>
  </sheetViews>
  <sheetFormatPr defaultRowHeight="15" x14ac:dyDescent="0.25"/>
  <cols>
    <col min="2" max="2" width="11.7109375" bestFit="1" customWidth="1"/>
    <col min="4" max="4" width="9.140625" style="2"/>
    <col min="6" max="6" width="9.140625" style="2"/>
  </cols>
  <sheetData>
    <row r="1" spans="1:7" x14ac:dyDescent="0.25">
      <c r="A1" t="s">
        <v>0</v>
      </c>
      <c r="B1" t="s">
        <v>3</v>
      </c>
      <c r="C1" t="s">
        <v>4</v>
      </c>
      <c r="D1" s="1" t="s">
        <v>5</v>
      </c>
      <c r="E1" t="s">
        <v>6</v>
      </c>
      <c r="F1" s="2" t="s">
        <v>7</v>
      </c>
      <c r="G1" t="s">
        <v>1</v>
      </c>
    </row>
    <row r="2" spans="1:7" x14ac:dyDescent="0.25">
      <c r="A2">
        <v>22</v>
      </c>
      <c r="B2" t="s">
        <v>8</v>
      </c>
      <c r="C2">
        <v>2121</v>
      </c>
      <c r="D2" s="2">
        <f>C2/G2</f>
        <v>0.22860530286699721</v>
      </c>
      <c r="E2">
        <v>7157</v>
      </c>
      <c r="F2" s="2">
        <f>E2/G2</f>
        <v>0.77139469713300279</v>
      </c>
      <c r="G2">
        <f>C2+E2</f>
        <v>9278</v>
      </c>
    </row>
    <row r="3" spans="1:7" x14ac:dyDescent="0.25">
      <c r="A3">
        <v>23</v>
      </c>
      <c r="B3" t="s">
        <v>9</v>
      </c>
      <c r="C3">
        <v>1615</v>
      </c>
      <c r="D3" s="2">
        <f t="shared" ref="D3:D8" si="0">C3/G3</f>
        <v>0.24381038647342995</v>
      </c>
      <c r="E3">
        <v>5009</v>
      </c>
      <c r="F3" s="2">
        <f t="shared" ref="F3:F8" si="1">E3/G3</f>
        <v>0.7561896135265701</v>
      </c>
      <c r="G3">
        <f t="shared" ref="G3:G8" si="2">C3+E3</f>
        <v>6624</v>
      </c>
    </row>
    <row r="4" spans="1:7" x14ac:dyDescent="0.25">
      <c r="A4">
        <v>0</v>
      </c>
      <c r="B4" t="s">
        <v>10</v>
      </c>
      <c r="C4">
        <v>925</v>
      </c>
      <c r="D4" s="2">
        <f t="shared" si="0"/>
        <v>0.21008403361344538</v>
      </c>
      <c r="E4">
        <v>3478</v>
      </c>
      <c r="F4" s="2">
        <f t="shared" si="1"/>
        <v>0.78991596638655459</v>
      </c>
      <c r="G4">
        <f t="shared" si="2"/>
        <v>4403</v>
      </c>
    </row>
    <row r="5" spans="1:7" x14ac:dyDescent="0.25">
      <c r="A5">
        <v>1</v>
      </c>
      <c r="B5" t="s">
        <v>11</v>
      </c>
      <c r="C5">
        <v>479</v>
      </c>
      <c r="D5" s="2">
        <f t="shared" si="0"/>
        <v>0.20726958026828213</v>
      </c>
      <c r="E5">
        <v>1832</v>
      </c>
      <c r="F5" s="2">
        <f t="shared" si="1"/>
        <v>0.79273041973171787</v>
      </c>
      <c r="G5">
        <f t="shared" si="2"/>
        <v>2311</v>
      </c>
    </row>
    <row r="6" spans="1:7" x14ac:dyDescent="0.25">
      <c r="A6">
        <v>2</v>
      </c>
      <c r="B6" t="s">
        <v>12</v>
      </c>
      <c r="C6">
        <v>279</v>
      </c>
      <c r="D6" s="2">
        <f t="shared" si="0"/>
        <v>0.19241379310344828</v>
      </c>
      <c r="E6">
        <v>1171</v>
      </c>
      <c r="F6" s="2">
        <f t="shared" si="1"/>
        <v>0.80758620689655169</v>
      </c>
      <c r="G6">
        <f t="shared" si="2"/>
        <v>1450</v>
      </c>
    </row>
    <row r="7" spans="1:7" x14ac:dyDescent="0.25">
      <c r="A7">
        <v>3</v>
      </c>
      <c r="B7" t="s">
        <v>13</v>
      </c>
      <c r="C7">
        <v>147</v>
      </c>
      <c r="D7" s="2">
        <f t="shared" si="0"/>
        <v>0.16915995397008055</v>
      </c>
      <c r="E7">
        <v>722</v>
      </c>
      <c r="F7" s="2">
        <f t="shared" si="1"/>
        <v>0.83084004602991945</v>
      </c>
      <c r="G7">
        <f t="shared" si="2"/>
        <v>869</v>
      </c>
    </row>
    <row r="8" spans="1:7" x14ac:dyDescent="0.25">
      <c r="A8">
        <v>4</v>
      </c>
      <c r="B8" t="s">
        <v>14</v>
      </c>
      <c r="C8">
        <v>175</v>
      </c>
      <c r="D8" s="2">
        <f t="shared" si="0"/>
        <v>0.23087071240105542</v>
      </c>
      <c r="E8">
        <v>583</v>
      </c>
      <c r="F8" s="2">
        <f t="shared" si="1"/>
        <v>0.76912928759894461</v>
      </c>
      <c r="G8">
        <f t="shared" si="2"/>
        <v>758</v>
      </c>
    </row>
    <row r="9" spans="1:7" x14ac:dyDescent="0.25">
      <c r="A9" t="s">
        <v>2</v>
      </c>
      <c r="D9" s="2">
        <f>AVERAGE(D2:D8)</f>
        <v>0.21174482324239127</v>
      </c>
      <c r="F9" s="2">
        <f>AVERAGE(F2:F8)</f>
        <v>0.7882551767576087</v>
      </c>
    </row>
  </sheetData>
  <phoneticPr fontId="2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Julia Kirillova</dc:creator>
  <cp:lastModifiedBy>Julia Kirillova</cp:lastModifiedBy>
  <dcterms:created xsi:type="dcterms:W3CDTF">2022-05-03T17:20:09Z</dcterms:created>
  <dcterms:modified xsi:type="dcterms:W3CDTF">2022-05-03T18:11:46Z</dcterms:modified>
</cp:coreProperties>
</file>